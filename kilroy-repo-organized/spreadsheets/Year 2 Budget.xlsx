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<sst xmlns="http://schemas.openxmlformats.org/spreadsheetml/2006/main" count="80" uniqueCount="32">
  <si>
    <t xml:space="preserve">  </t>
  </si>
  <si>
    <t>Price</t>
  </si>
  <si>
    <t>Items</t>
  </si>
  <si>
    <t>Reciept</t>
  </si>
  <si>
    <t>Person</t>
  </si>
  <si>
    <t>Bought?</t>
  </si>
  <si>
    <t>1 of: Boat Anchor Rope - 50 ft x 1/4 inch - Double Braided Nylon Anchor Line/Boat Rope with 316SS Thimble and Heavy Duty Marine Grade Snap Hook - Black - KARIBOU</t>
  </si>
  <si>
    <t>Printed</t>
  </si>
  <si>
    <t>Sam</t>
  </si>
  <si>
    <t>y</t>
  </si>
  <si>
    <t>1 of: Pool Noodles, Fix Find 5 Pack of 52 Inch Hollow Foam Pool Swim Noodles, Bright Red Foam Noodles for Swimming, Floating and Craft Projects</t>
  </si>
  <si>
    <t>1 of: Seachoice River Anchor, Black Vinyl Coated Cast Iron, 12 Lbs.</t>
  </si>
  <si>
    <t>1 of: DIYmall 2.4G WiFi Antenna with U.FL to Female SMA Cable, 3DBI Gain Antenna for Arduino Wemos D1 M1 ESP8266 ESP32 ESP-07 2pcs 2 of: Adafruit (PID 3591) HUZZAH32 – ESP32 Feather Board (pre-soldered)</t>
  </si>
  <si>
    <t>2 of: Adafruit (PID 3591) HUZZAH32 – ESP32 Feather Board (pre-soldered)</t>
  </si>
  <si>
    <r>
      <rPr>
        <rFont val="verdana, arial, helvetica, sans-serif"/>
        <i/>
        <color rgb="FF000000"/>
      </rPr>
      <t>2</t>
    </r>
    <r>
      <rPr>
        <rFont val="verdana, arial, helvetica, sans-serif"/>
        <i/>
        <color rgb="FF1155CC"/>
        <u/>
      </rPr>
      <t xml:space="preserve"> of: DIYmall 2.4G WiFi Antenna with U.FL to Female SMA Cable, 3DBI Gain Antenna for Arduino Wemos D1 M1 ESP8266 ESP32 ESP-07 2pcs 2 of: Adafruit (PID 3591) HUZZAH32 – ESP32 Feather Board (pre-soldered)</t>
    </r>
  </si>
  <si>
    <t>V75 USB Battery Pack</t>
  </si>
  <si>
    <t xml:space="preserve">Vir </t>
  </si>
  <si>
    <t>Atlas Scientific</t>
  </si>
  <si>
    <t>CC Vector Extended Long Range WiFi Receiver System - Works with All Devices - Receives Distant WiFi and Repeats to All WiFi Devices in a New Location 2.4GHz</t>
  </si>
  <si>
    <t>printed</t>
  </si>
  <si>
    <t>Vir</t>
  </si>
  <si>
    <t>Semester 2</t>
  </si>
  <si>
    <r>
      <rPr/>
      <t xml:space="preserve">2 of Hydroponics </t>
    </r>
    <r>
      <rPr>
        <color rgb="FF1155CC"/>
        <u/>
      </rPr>
      <t>https://atlas-scientific.com/kits/wi-fi-hydroponics-kit/</t>
    </r>
    <r>
      <rPr/>
      <t xml:space="preserve"> </t>
    </r>
  </si>
  <si>
    <t>N/A</t>
  </si>
  <si>
    <t>https://www.amazon.com/CIMPLE-CO-Coaxial-Connectors-Satellite/dp/B07D5N3M8D?th=1</t>
  </si>
  <si>
    <r>
      <rPr>
        <rFont val="Arial"/>
      </rPr>
      <t xml:space="preserve">2 of coax seal </t>
    </r>
    <r>
      <rPr>
        <rFont val="Arial"/>
        <color rgb="FF1155CC"/>
        <u/>
      </rPr>
      <t>https://www.amazon.com/Fittings-Universal-Waterproof-Non-Conducting-Wire/dp/B00UZWM1U0/ref=sr_1_3?crid=2GJ8VHW60Z28H&amp;keywords=coax+seal&amp;qid=1707247061&amp;sprefix=coax+%2Caps%2C395&amp;sr=8-3</t>
    </r>
    <r>
      <rPr>
        <rFont val="Arial"/>
      </rPr>
      <t xml:space="preserve"> </t>
    </r>
  </si>
  <si>
    <r>
      <rPr>
        <rFont val="Arial"/>
      </rPr>
      <t xml:space="preserve">2 of Voltaic V75 </t>
    </r>
    <r>
      <rPr>
        <rFont val="Arial"/>
        <color rgb="FF1155CC"/>
        <u/>
      </rPr>
      <t>https://voltaicsystems.com/v75/</t>
    </r>
    <r>
      <rPr>
        <rFont val="Arial"/>
      </rPr>
      <t xml:space="preserve"> </t>
    </r>
  </si>
  <si>
    <r>
      <rPr>
        <rFont val="Arial"/>
      </rPr>
      <t xml:space="preserve">2 of solar panel </t>
    </r>
    <r>
      <rPr>
        <rFont val="Arial"/>
        <color rgb="FF1155CC"/>
        <u/>
      </rPr>
      <t>https://www.amazon.com/BigBlue-Foldable-Waterproof-SunPower-Cellphones/dp/B01EXWCPLC/ref=sr_1_3?crid=39TVJ7703SB6B&amp;keywords=solar+panel+big+blue&amp;qid=1707247502&amp;sprefix=solar+panel+big+blu%2Caps%2C160&amp;sr=8-3&amp;ufe=app_do%3Aamzn1.fos.006c50ae-5d4c-4777-9bc0-4513d670b6bc</t>
    </r>
    <r>
      <rPr>
        <rFont val="Arial"/>
      </rPr>
      <t xml:space="preserve"> </t>
    </r>
  </si>
  <si>
    <t>n</t>
  </si>
  <si>
    <t>Total Price</t>
  </si>
  <si>
    <t xml:space="preserve">Budget </t>
  </si>
  <si>
    <t>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</si>
</sst>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color theme="1"/>
      <name val="Verdana"/>
    </font>
    <font>
      <u/>
      <color rgb="FF0000FF"/>
    </font>
    <font>
      <i/>
      <u/>
      <color rgb="FF0000FF"/>
      <name val="Verdana"/>
    </font>
    <font>
      <i/>
      <color theme="1"/>
      <name val="Verdana"/>
    </font>
    <font>
      <sz val="9.0"/>
      <color theme="1"/>
      <name val="Helvetica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shrinkToFit="0" wrapText="0"/>
    </xf>
    <xf borderId="0" fillId="2" fontId="2" numFmtId="164" xfId="0" applyAlignment="1" applyFill="1" applyFont="1" applyNumberFormat="1">
      <alignment readingOrder="0" shrinkToFit="0" wrapText="0"/>
    </xf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2" fontId="6" numFmtId="0" xfId="0" applyAlignment="1" applyFont="1">
      <alignment readingOrder="0" shrinkToFit="0" wrapText="0"/>
    </xf>
    <xf borderId="0" fillId="2" fontId="7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right"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wrapText="0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oltaicsystems.com/v75/" TargetMode="External"/><Relationship Id="rId10" Type="http://schemas.openxmlformats.org/officeDocument/2006/relationships/hyperlink" Target="https://www.amazon.com/Fittings-Universal-Waterproof-Non-Conducting-Wire/dp/B00UZWM1U0/ref=sr_1_3?crid=2GJ8VHW60Z28H&amp;keywords=coax+seal&amp;qid=1707247061&amp;sprefix=coax+%2Caps%2C395&amp;sr=8-3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mazon.com/BigBlue-Foldable-Waterproof-SunPower-Cellphones/dp/B01EXWCPLC/ref=sr_1_3?crid=39TVJ7703SB6B&amp;keywords=solar+panel+big+blue&amp;qid=1707247502&amp;sprefix=solar+panel+big+blu%2Caps%2C160&amp;sr=8-3&amp;ufe=app_do%3Aamzn1.fos.006c50ae-5d4c-4777-9bc0-4513d670b6bc" TargetMode="External"/><Relationship Id="rId1" Type="http://schemas.openxmlformats.org/officeDocument/2006/relationships/hyperlink" Target="https://www.amazon.com/Boat-Anchor-Rope-Braided-Thimble/dp/B0B4JWDH59/ref=sr_1_4?crid=7U811YLF4C63&amp;keywords=Price+1+of%3A+Boat+Anchor+Rope+-+50+ft+x+1%2F4+inch+-+Double+Braided+Nylon+Anchor+Line%2FBoat+Rope+with+316SS+Thimble+and+Heavy+Duty+Marine+Grade+Snap+Hook+-+Black+-+KARIBOU&amp;qid=1682472257&amp;sprefix=price+1+of+boat+anchor+rope+-+50+ft+x+1%2F4+inch+-+double+braided+nylon+anchor+line%2Fboat+rope+with+316ss+thimble+and+heavy+duty+marine+grade+snap+hook+-+black+-+karibou%2Caps%2C96&amp;sr=8-4" TargetMode="External"/><Relationship Id="rId2" Type="http://schemas.openxmlformats.org/officeDocument/2006/relationships/hyperlink" Target="https://www.amazon.com/dp/B07PWHWLBX?ref=ppx_yo2ov_dt_b_product_details&amp;th=1" TargetMode="External"/><Relationship Id="rId3" Type="http://schemas.openxmlformats.org/officeDocument/2006/relationships/hyperlink" Target="https://www.amazon.com/dp/B002IV8D7Q?psc=1&amp;ref=ppx_yo2ov_dt_b_product_details" TargetMode="External"/><Relationship Id="rId4" Type="http://schemas.openxmlformats.org/officeDocument/2006/relationships/hyperlink" Target="https://www.amazon.com/dp/B00ZBJNO9O?psc=1&amp;ref=ppx_yo2ov_dt_b_product_details" TargetMode="External"/><Relationship Id="rId9" Type="http://schemas.openxmlformats.org/officeDocument/2006/relationships/hyperlink" Target="https://www.amazon.com/CIMPLE-CO-Coaxial-Connectors-Satellite/dp/B07D5N3M8D?th=1" TargetMode="External"/><Relationship Id="rId5" Type="http://schemas.openxmlformats.org/officeDocument/2006/relationships/hyperlink" Target="https://www.amazon.com/dp/B079QGXX88?psc=1&amp;ref=ppx_yo2ov_dt_b_product_details" TargetMode="External"/><Relationship Id="rId6" Type="http://schemas.openxmlformats.org/officeDocument/2006/relationships/hyperlink" Target="https://www.amazon.com/dp/B00ZBJNO9O?psc=1&amp;ref=ppx_yo2ov_dt_b_product_details" TargetMode="External"/><Relationship Id="rId7" Type="http://schemas.openxmlformats.org/officeDocument/2006/relationships/hyperlink" Target="https://www.amazon.com/dp/B076KRTXQ6?ref_=cm_sw_r_apin_dp_7CC7F48E9328EDEWVH5W" TargetMode="External"/><Relationship Id="rId8" Type="http://schemas.openxmlformats.org/officeDocument/2006/relationships/hyperlink" Target="https://atlas-scientific.com/kits/wi-fi-hydroponics-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4.25" customHeight="1">
      <c r="A2" s="1">
        <v>1.0</v>
      </c>
      <c r="B2" s="4">
        <v>32.39</v>
      </c>
      <c r="C2" s="5" t="s">
        <v>6</v>
      </c>
      <c r="D2" s="1" t="s">
        <v>7</v>
      </c>
      <c r="E2" s="1" t="s">
        <v>8</v>
      </c>
      <c r="F2" s="1" t="s">
        <v>9</v>
      </c>
      <c r="G2" s="1"/>
      <c r="H2" s="4"/>
      <c r="I2" s="6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6.5" customHeight="1">
      <c r="A3" s="1">
        <v>2.0</v>
      </c>
      <c r="B3" s="2">
        <v>31.31</v>
      </c>
      <c r="C3" s="5" t="s">
        <v>10</v>
      </c>
      <c r="D3" s="1" t="s">
        <v>7</v>
      </c>
      <c r="E3" s="1" t="s">
        <v>8</v>
      </c>
      <c r="F3" s="1" t="s">
        <v>9</v>
      </c>
      <c r="G3" s="1"/>
      <c r="H3" s="2"/>
      <c r="I3" s="6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1">
        <v>3.0</v>
      </c>
      <c r="B4" s="2">
        <v>39.06</v>
      </c>
      <c r="C4" s="7" t="s">
        <v>11</v>
      </c>
      <c r="D4" s="1" t="s">
        <v>7</v>
      </c>
      <c r="E4" s="1" t="s">
        <v>8</v>
      </c>
      <c r="F4" s="1" t="s">
        <v>9</v>
      </c>
      <c r="G4" s="1"/>
      <c r="H4" s="2"/>
      <c r="I4" s="8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4.25" customHeight="1">
      <c r="A5" s="1">
        <v>4.0</v>
      </c>
      <c r="B5" s="2">
        <v>62.87</v>
      </c>
      <c r="C5" s="9" t="s">
        <v>12</v>
      </c>
      <c r="D5" s="1" t="s">
        <v>7</v>
      </c>
      <c r="E5" s="1" t="s">
        <v>8</v>
      </c>
      <c r="F5" s="1" t="s">
        <v>9</v>
      </c>
      <c r="G5" s="1"/>
      <c r="H5" s="2"/>
      <c r="I5" s="10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C6" s="7" t="s">
        <v>13</v>
      </c>
      <c r="E6" s="1" t="s">
        <v>8</v>
      </c>
      <c r="F6" s="1" t="s">
        <v>9</v>
      </c>
      <c r="I6" s="8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1">
        <v>5.0</v>
      </c>
      <c r="B7" s="2">
        <v>21.58</v>
      </c>
      <c r="C7" s="9" t="s">
        <v>14</v>
      </c>
      <c r="D7" s="1" t="s">
        <v>7</v>
      </c>
      <c r="E7" s="1" t="s">
        <v>8</v>
      </c>
      <c r="F7" s="1" t="s">
        <v>9</v>
      </c>
      <c r="G7" s="1"/>
      <c r="H7" s="2"/>
      <c r="I7" s="10"/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1">
        <v>6.0</v>
      </c>
      <c r="B8" s="2">
        <v>81.05</v>
      </c>
      <c r="C8" s="11" t="s">
        <v>15</v>
      </c>
      <c r="D8" s="1" t="s">
        <v>7</v>
      </c>
      <c r="E8" s="1" t="s">
        <v>16</v>
      </c>
      <c r="F8" s="1" t="s">
        <v>9</v>
      </c>
      <c r="G8" s="1"/>
      <c r="H8" s="2"/>
      <c r="I8" s="1"/>
      <c r="J8" s="1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1">
        <v>7.0</v>
      </c>
      <c r="B9" s="2">
        <v>547.53</v>
      </c>
      <c r="C9" s="1" t="s">
        <v>17</v>
      </c>
      <c r="D9" s="1" t="s">
        <v>7</v>
      </c>
      <c r="E9" s="1" t="s">
        <v>8</v>
      </c>
      <c r="F9" s="1" t="s">
        <v>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12">
        <v>8.0</v>
      </c>
      <c r="B10" s="13">
        <v>377.99</v>
      </c>
      <c r="C10" s="14" t="s">
        <v>18</v>
      </c>
      <c r="D10" s="15" t="s">
        <v>19</v>
      </c>
      <c r="E10" s="15" t="s">
        <v>20</v>
      </c>
      <c r="F10" s="1" t="s">
        <v>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1" t="s">
        <v>21</v>
      </c>
      <c r="B11" s="2"/>
      <c r="C11" s="8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1">
        <v>1.0</v>
      </c>
      <c r="B12" s="2">
        <v>1105.18</v>
      </c>
      <c r="C12" s="7" t="s">
        <v>22</v>
      </c>
      <c r="D12" s="1" t="s">
        <v>23</v>
      </c>
      <c r="E12" s="1" t="s">
        <v>20</v>
      </c>
      <c r="F12" s="1" t="s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16">
        <v>2.0</v>
      </c>
      <c r="B13" s="13">
        <v>48.0</v>
      </c>
      <c r="C13" s="17" t="s">
        <v>24</v>
      </c>
      <c r="D13" s="18" t="s">
        <v>23</v>
      </c>
      <c r="E13" s="18" t="s">
        <v>20</v>
      </c>
      <c r="F13" s="19" t="s">
        <v>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16">
        <v>3.0</v>
      </c>
      <c r="B14" s="13">
        <v>18.0</v>
      </c>
      <c r="C14" s="20" t="s">
        <v>25</v>
      </c>
      <c r="D14" s="18" t="s">
        <v>23</v>
      </c>
      <c r="E14" s="18" t="s">
        <v>20</v>
      </c>
      <c r="F14" s="19" t="s">
        <v>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16">
        <v>4.0</v>
      </c>
      <c r="B15" s="13">
        <v>170.0</v>
      </c>
      <c r="C15" s="20" t="s">
        <v>26</v>
      </c>
      <c r="D15" s="18" t="s">
        <v>23</v>
      </c>
      <c r="E15" s="18" t="s">
        <v>20</v>
      </c>
      <c r="F15" s="19" t="s">
        <v>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16">
        <v>5.0</v>
      </c>
      <c r="B16" s="13">
        <v>146.0</v>
      </c>
      <c r="C16" s="20" t="s">
        <v>27</v>
      </c>
      <c r="D16" s="18" t="s">
        <v>23</v>
      </c>
      <c r="E16" s="18" t="s">
        <v>20</v>
      </c>
      <c r="F16" s="19" t="s">
        <v>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19">
        <v>6.0</v>
      </c>
      <c r="B17" s="21"/>
      <c r="C17" s="8"/>
      <c r="D17" s="1" t="s">
        <v>23</v>
      </c>
      <c r="E17" s="1" t="s">
        <v>20</v>
      </c>
      <c r="F17" s="1" t="s">
        <v>28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1">
        <v>7.0</v>
      </c>
      <c r="B18" s="2"/>
      <c r="C18" s="8"/>
      <c r="D18" s="1" t="s">
        <v>23</v>
      </c>
      <c r="E18" s="1" t="s">
        <v>20</v>
      </c>
      <c r="F18" s="1" t="s">
        <v>28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1">
        <v>8.0</v>
      </c>
      <c r="B19" s="2"/>
      <c r="C19" s="3"/>
      <c r="D19" s="1" t="s">
        <v>23</v>
      </c>
      <c r="E19" s="1" t="s">
        <v>20</v>
      </c>
      <c r="F19" s="1" t="s">
        <v>28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">
        <v>9.0</v>
      </c>
      <c r="B20" s="2"/>
      <c r="C20" s="3"/>
      <c r="D20" s="1" t="s">
        <v>23</v>
      </c>
      <c r="E20" s="1" t="s">
        <v>20</v>
      </c>
      <c r="F20" s="1" t="s">
        <v>28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1">
        <v>10.0</v>
      </c>
      <c r="B21" s="22"/>
      <c r="C21" s="3"/>
      <c r="D21" s="1" t="s">
        <v>23</v>
      </c>
      <c r="E21" s="1" t="s">
        <v>20</v>
      </c>
      <c r="F21" s="1" t="s">
        <v>28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1"/>
      <c r="B22" s="22"/>
      <c r="C22" s="3"/>
      <c r="D22" s="1"/>
      <c r="E22" s="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15" t="s">
        <v>29</v>
      </c>
      <c r="B23" s="13">
        <f>SUM(B1:B22)</f>
        <v>2680.96</v>
      </c>
      <c r="C23" s="23"/>
      <c r="D23" s="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15" t="s">
        <v>30</v>
      </c>
      <c r="B24" s="21">
        <v>3400.0</v>
      </c>
      <c r="C24" s="23"/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15" t="s">
        <v>31</v>
      </c>
      <c r="B25" s="13">
        <f>B24-B23</f>
        <v>719.04</v>
      </c>
      <c r="C25" s="23"/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23"/>
      <c r="B26" s="24"/>
      <c r="C26" s="23"/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22"/>
      <c r="B27" s="13"/>
      <c r="C27" s="23"/>
      <c r="D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15"/>
      <c r="B28" s="13"/>
      <c r="C28" s="23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23"/>
      <c r="B29" s="24"/>
      <c r="C29" s="23"/>
      <c r="D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C30" s="3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22"/>
      <c r="C31" s="3"/>
      <c r="D31" s="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22"/>
      <c r="C32" s="3"/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22"/>
      <c r="C33" s="3"/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22"/>
      <c r="C34" s="3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22"/>
      <c r="C35" s="3"/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22"/>
      <c r="C36" s="3"/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22"/>
      <c r="C37" s="3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22"/>
      <c r="C38" s="3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22"/>
      <c r="C39" s="3"/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22"/>
      <c r="C40" s="3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22"/>
      <c r="C41" s="3"/>
      <c r="D41" s="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22"/>
      <c r="C42" s="3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22"/>
      <c r="C43" s="3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22"/>
      <c r="C44" s="3"/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22"/>
      <c r="C45" s="3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22"/>
      <c r="C46" s="3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22"/>
      <c r="C47" s="3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22"/>
      <c r="C48" s="3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22"/>
      <c r="C49" s="3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22"/>
      <c r="C50" s="3"/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2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2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2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2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2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2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2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2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2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2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2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2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2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2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2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2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2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2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2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2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2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2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2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2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2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2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2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2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2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2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2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2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2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2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2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2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2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2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2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2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2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2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2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2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2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2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2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2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2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2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2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2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2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2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2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2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2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2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2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2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2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2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2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2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2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2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2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2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2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2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2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2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2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2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2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2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2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2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2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2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2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2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2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2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2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2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2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2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2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2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2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2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2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2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2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2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2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2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2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2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2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2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2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2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2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2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2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2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2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2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2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2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2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2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2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2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2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2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2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2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2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2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2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2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2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2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2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2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2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2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2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2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2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2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2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2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2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2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2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2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2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2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2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2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2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2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2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2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2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2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2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2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2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2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2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2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2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2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2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2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2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2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2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2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2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2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2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2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2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2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2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2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2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2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2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2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2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2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2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2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2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2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2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2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2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2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2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2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2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2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2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2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2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2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2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2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2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2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2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2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2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2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2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2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2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2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2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2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2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2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2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2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2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2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2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2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2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2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2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2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2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2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2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2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2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2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2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2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2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2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2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2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2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2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2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2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2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2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2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2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2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2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2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2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2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2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2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2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2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2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2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2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2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2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2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2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2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2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2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2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2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2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2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2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2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2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2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2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2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2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2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2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2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2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2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2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2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2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2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2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2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2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2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2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2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2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2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2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2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2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2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2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2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2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2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2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2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2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2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2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2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2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2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2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2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2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2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2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2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2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2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2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2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2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2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2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2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2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2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2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2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2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2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2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2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2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2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2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2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2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2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2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2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2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2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2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2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2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2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2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2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2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2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2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2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2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2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2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2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2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2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2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2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2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2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2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2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2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2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2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2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2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2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2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2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2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2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2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2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2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2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2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2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2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2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2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2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2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2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2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2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2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2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2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2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2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2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2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2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2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2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2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2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2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2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2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2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2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2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2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2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2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2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2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2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2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2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2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2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2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2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2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2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2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2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2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2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2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2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2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2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2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2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2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2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2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2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2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2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2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2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2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2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2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2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2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2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2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2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2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2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2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2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2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2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2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2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2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2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2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2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2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2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2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2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2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2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2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2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2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2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2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2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2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2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2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2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2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2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2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2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2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2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2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2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2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2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2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2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2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2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2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2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2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2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2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2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2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2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2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2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2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2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2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2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2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2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2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2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2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2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2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2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2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2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2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2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2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2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2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2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2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2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2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2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2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2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2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2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2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2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2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2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2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2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2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2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2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2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2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2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2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2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2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2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2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2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2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2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2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2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2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2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2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2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2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2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2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2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2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2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2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2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2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2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2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2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2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2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2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2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2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2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2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2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2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2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2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2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2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2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2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2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2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2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2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2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2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2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2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2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2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2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2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2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2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2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2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2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2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2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2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2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2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2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2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2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2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2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2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2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2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2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2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2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2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2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2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2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2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2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2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2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2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2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2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2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2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2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2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2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2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2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2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2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2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2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2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2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2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2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2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2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2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2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2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2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2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2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2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2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2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2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2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2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2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2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2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2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2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2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2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2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2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2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2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2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2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2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2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2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2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2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2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2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2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2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2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2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2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2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2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2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2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2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2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2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2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2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2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2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2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2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2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2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2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2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2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2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2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2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2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2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2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2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2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2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2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2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2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2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2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2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2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2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2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2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2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2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2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2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2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2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2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2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2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2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2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2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2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2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2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2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2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2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2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2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2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2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2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2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2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2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2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2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2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2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2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2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2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2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2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2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2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2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2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2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2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2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2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2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2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2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2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2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2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2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2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2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2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2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2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2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2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2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2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2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2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2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2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2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2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2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2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2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2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2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2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2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2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2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2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2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2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2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2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2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2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2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2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2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2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2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2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2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2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2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2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2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2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2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2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2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2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2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2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2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2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2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2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2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2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2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2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2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2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2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2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2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2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2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2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2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2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2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2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2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2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2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2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2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2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2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2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2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2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2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2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2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2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2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2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2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2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2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2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2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2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2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2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2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2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2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2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2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2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2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2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2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2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2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2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2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2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2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2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2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2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2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2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2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2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2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2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2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2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2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2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2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2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2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2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2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2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2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2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2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2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2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2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2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2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2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2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2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2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2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2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2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2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2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2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2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2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2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2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2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2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2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2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2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2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2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2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2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2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2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2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2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2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2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2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2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2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2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2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2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2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2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2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2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2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2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2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2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2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2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2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2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2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2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2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2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2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2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2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2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2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2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2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">
    <mergeCell ref="A5:A6"/>
    <mergeCell ref="B5:B6"/>
    <mergeCell ref="D5:D6"/>
    <mergeCell ref="G5:G6"/>
    <mergeCell ref="H5:H6"/>
    <mergeCell ref="J5:J6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10"/>
    <hyperlink r:id="rId8" ref="C12"/>
    <hyperlink r:id="rId9" ref="C13"/>
    <hyperlink r:id="rId10" ref="C14"/>
    <hyperlink r:id="rId11" ref="C15"/>
    <hyperlink r:id="rId12" ref="C16"/>
  </hyperlinks>
  <drawing r:id="rId13"/>
</worksheet>
</file>