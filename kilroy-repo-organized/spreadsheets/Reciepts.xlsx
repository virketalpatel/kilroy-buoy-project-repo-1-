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<sst xmlns="http://schemas.openxmlformats.org/spreadsheetml/2006/main" count="56" uniqueCount="25">
  <si>
    <t>Number</t>
  </si>
  <si>
    <t>Price</t>
  </si>
  <si>
    <t>Items</t>
  </si>
  <si>
    <t>Reciept</t>
  </si>
  <si>
    <t>Person</t>
  </si>
  <si>
    <t>1 of: Boat Anchor Rope - 50 ft x 1/4 inch - Double Braided Nylon Anchor Line/Boat Rope with 316SS Thimble and Heavy Duty Marine Grade Snap Hook - Black - KARIBOU</t>
  </si>
  <si>
    <t>Printed</t>
  </si>
  <si>
    <t>Sam</t>
  </si>
  <si>
    <t>1 of: Pool Noodles, Fix Find 5 Pack of 52 Inch Hollow Foam Pool Swim Noodles, Bright Red Foam Noodles for Swimming, Floating and Craft Projects</t>
  </si>
  <si>
    <t>1 of: Seachoice River Anchor, Black Vinyl Coated Cast Iron, 12 Lbs.</t>
  </si>
  <si>
    <t>1 of: DIYmall 2.4G WiFi Antenna with U.FL to Female SMA Cable, 3DBI Gain Antenna for Arduino Wemos D1 M1 ESP8266 ESP32 ESP-07 2pcs 2 of: Adafruit (PID 3591) HUZZAH32 – ESP32 Feather Board (pre-soldered)</t>
  </si>
  <si>
    <t>2 of: Adafruit (PID 3591) HUZZAH32 – ESP32 Feather Board (pre-soldered)</t>
  </si>
  <si>
    <r>
      <rPr>
        <rFont val="verdana, arial, helvetica, sans-serif"/>
        <i/>
        <color rgb="FF000000"/>
      </rPr>
      <t>2</t>
    </r>
    <r>
      <rPr>
        <rFont val="verdana, arial, helvetica, sans-serif"/>
        <i/>
        <color rgb="FF1155CC"/>
        <u/>
      </rPr>
      <t xml:space="preserve"> of: DIYmall 2.4G WiFi Antenna with U.FL to Female SMA Cable, 3DBI Gain Antenna for Arduino Wemos D1 M1 ESP8266 ESP32 ESP-07 2pcs 2 of: Adafruit (PID 3591) HUZZAH32 – ESP32 Feather Board (pre-soldered)</t>
    </r>
  </si>
  <si>
    <r>
      <rPr>
        <rFont val="verdana, arial, helvetica, sans-serif"/>
        <i/>
        <color rgb="FF000000"/>
      </rPr>
      <t>2</t>
    </r>
    <r>
      <rPr>
        <rFont val="verdana, arial, helvetica, sans-serif"/>
        <i/>
        <color rgb="FF1155CC"/>
        <u/>
      </rPr>
      <t xml:space="preserve"> of: DIYmall 2.4G WiFi Antenna with U.FL to Female SMA Cable, 3DBI Gain Antenna for Arduino Wemos D1 M1 ESP8266 ESP32 ESP-07 2pcs 2 of: Adafruit (PID 3591) HUZZAH32 – ESP32 Feather Board (pre-soldered)</t>
    </r>
  </si>
  <si>
    <t>V75 USB Battery Pack</t>
  </si>
  <si>
    <t xml:space="preserve">Vir </t>
  </si>
  <si>
    <t>Atlas Scientific</t>
  </si>
  <si>
    <t>CC Vector Extended Long Range WiFi Receiver System - Works with All Devices - Receives Distant WiFi and Repeats to All WiFi Devices in a New Location 2.4GHz</t>
  </si>
  <si>
    <t>printed</t>
  </si>
  <si>
    <t>Vir</t>
  </si>
  <si>
    <t>Total Price</t>
  </si>
  <si>
    <t xml:space="preserve">Budget </t>
  </si>
  <si>
    <t>Remaining</t>
  </si>
  <si>
    <t>Sam:</t>
  </si>
  <si>
    <t>Vir: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</si>
</sst>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u/>
      <color rgb="FF0000FF"/>
    </font>
    <font>
      <i/>
      <u/>
      <color rgb="FF0000FF"/>
      <name val="Verdana"/>
    </font>
    <font>
      <sz val="9.0"/>
      <color theme="1"/>
      <name val="Helvetica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shrinkToFit="0" wrapText="0"/>
    </xf>
    <xf borderId="0" fillId="2" fontId="2" numFmtId="164" xfId="0" applyAlignment="1" applyFill="1" applyFont="1" applyNumberFormat="1">
      <alignment readingOrder="0" shrinkToFit="0" wrapText="0"/>
    </xf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dp/B00ZBJNO9O?psc=1&amp;ref=ppx_yo2ov_dt_b_product_details" TargetMode="External"/><Relationship Id="rId10" Type="http://schemas.openxmlformats.org/officeDocument/2006/relationships/hyperlink" Target="https://www.amazon.com/dp/B079QGXX88?psc=1&amp;ref=ppx_yo2ov_dt_b_product_details" TargetMode="External"/><Relationship Id="rId13" Type="http://schemas.openxmlformats.org/officeDocument/2006/relationships/hyperlink" Target="https://www.amazon.com/dp/B076KRTXQ6?ref_=cm_sw_r_apin_dp_7CC7F48E9328EDEWVH5W" TargetMode="External"/><Relationship Id="rId12" Type="http://schemas.openxmlformats.org/officeDocument/2006/relationships/hyperlink" Target="https://www.amazon.com/dp/B00ZBJNO9O?psc=1&amp;ref=ppx_yo2ov_dt_b_product_details" TargetMode="External"/><Relationship Id="rId1" Type="http://schemas.openxmlformats.org/officeDocument/2006/relationships/hyperlink" Target="https://www.amazon.com/Boat-Anchor-Rope-Braided-Thimble/dp/B0B4JWDH59/ref=sr_1_4?crid=7U811YLF4C63&amp;keywords=Price+1+of%3A+Boat+Anchor+Rope+-+50+ft+x+1%2F4+inch+-+Double+Braided+Nylon+Anchor+Line%2FBoat+Rope+with+316SS+Thimble+and+Heavy+Duty+Marine+Grade+Snap+Hook+-+Black+-+KARIBOU&amp;qid=1682472257&amp;sprefix=price+1+of+boat+anchor+rope+-+50+ft+x+1%2F4+inch+-+double+braided+nylon+anchor+line%2Fboat+rope+with+316ss+thimble+and+heavy+duty+marine+grade+snap+hook+-+black+-+karibou%2Caps%2C96&amp;sr=8-4" TargetMode="External"/><Relationship Id="rId2" Type="http://schemas.openxmlformats.org/officeDocument/2006/relationships/hyperlink" Target="https://www.amazon.com/Boat-Anchor-Rope-Braided-Thimble/dp/B0B4JWDH59/ref=sr_1_4?crid=7U811YLF4C63&amp;keywords=Price+1+of%3A+Boat+Anchor+Rope+-+50+ft+x+1%2F4+inch+-+Double+Braided+Nylon+Anchor+Line%2FBoat+Rope+with+316SS+Thimble+and+Heavy+Duty+Marine+Grade+Snap+Hook+-+Black+-+KARIBOU&amp;qid=1682472257&amp;sprefix=price+1+of+boat+anchor+rope+-+50+ft+x+1%2F4+inch+-+double+braided+nylon+anchor+line%2Fboat+rope+with+316ss+thimble+and+heavy+duty+marine+grade+snap+hook+-+black+-+karibou%2Caps%2C96&amp;sr=8-4" TargetMode="External"/><Relationship Id="rId3" Type="http://schemas.openxmlformats.org/officeDocument/2006/relationships/hyperlink" Target="https://www.amazon.com/dp/B07PWHWLBX?ref=ppx_yo2ov_dt_b_product_details&amp;th=1" TargetMode="External"/><Relationship Id="rId4" Type="http://schemas.openxmlformats.org/officeDocument/2006/relationships/hyperlink" Target="https://www.amazon.com/dp/B07PWHWLBX?ref=ppx_yo2ov_dt_b_product_details&amp;th=1" TargetMode="External"/><Relationship Id="rId9" Type="http://schemas.openxmlformats.org/officeDocument/2006/relationships/hyperlink" Target="https://www.amazon.com/dp/B079QGXX88?psc=1&amp;ref=ppx_yo2ov_dt_b_product_details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amazon.com/dp/B002IV8D7Q?psc=1&amp;ref=ppx_yo2ov_dt_b_product_details" TargetMode="External"/><Relationship Id="rId6" Type="http://schemas.openxmlformats.org/officeDocument/2006/relationships/hyperlink" Target="https://www.amazon.com/dp/B002IV8D7Q?psc=1&amp;ref=ppx_yo2ov_dt_b_product_details" TargetMode="External"/><Relationship Id="rId7" Type="http://schemas.openxmlformats.org/officeDocument/2006/relationships/hyperlink" Target="https://www.amazon.com/dp/B00ZBJNO9O?psc=1&amp;ref=ppx_yo2ov_dt_b_product_details" TargetMode="External"/><Relationship Id="rId8" Type="http://schemas.openxmlformats.org/officeDocument/2006/relationships/hyperlink" Target="https://www.amazon.com/dp/B00ZBJNO9O?psc=1&amp;ref=ppx_yo2ov_dt_b_product_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4.25" customHeight="1">
      <c r="A2" s="1">
        <v>1.0</v>
      </c>
      <c r="B2" s="4">
        <v>32.39</v>
      </c>
      <c r="C2" s="5" t="s">
        <v>5</v>
      </c>
      <c r="D2" s="1" t="s">
        <v>6</v>
      </c>
      <c r="E2" s="1" t="s">
        <v>7</v>
      </c>
      <c r="F2" s="3"/>
      <c r="G2" s="1">
        <v>1.0</v>
      </c>
      <c r="H2" s="4">
        <v>32.39</v>
      </c>
      <c r="I2" s="5" t="s">
        <v>5</v>
      </c>
      <c r="J2" s="1" t="s">
        <v>6</v>
      </c>
      <c r="K2" s="1" t="s">
        <v>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6.5" customHeight="1">
      <c r="A3" s="1">
        <v>2.0</v>
      </c>
      <c r="B3" s="2">
        <v>31.31</v>
      </c>
      <c r="C3" s="5" t="s">
        <v>8</v>
      </c>
      <c r="D3" s="1" t="s">
        <v>6</v>
      </c>
      <c r="E3" s="1" t="s">
        <v>7</v>
      </c>
      <c r="F3" s="3"/>
      <c r="G3" s="1">
        <v>2.0</v>
      </c>
      <c r="H3" s="2">
        <v>31.31</v>
      </c>
      <c r="I3" s="5" t="s">
        <v>8</v>
      </c>
      <c r="J3" s="1" t="s">
        <v>6</v>
      </c>
      <c r="K3" s="1" t="s">
        <v>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1">
        <v>3.0</v>
      </c>
      <c r="B4" s="2">
        <v>39.06</v>
      </c>
      <c r="C4" s="6" t="s">
        <v>9</v>
      </c>
      <c r="D4" s="1" t="s">
        <v>6</v>
      </c>
      <c r="E4" s="1" t="s">
        <v>7</v>
      </c>
      <c r="F4" s="3"/>
      <c r="G4" s="1">
        <v>3.0</v>
      </c>
      <c r="H4" s="2">
        <v>39.06</v>
      </c>
      <c r="I4" s="6" t="s">
        <v>9</v>
      </c>
      <c r="J4" s="1" t="s">
        <v>6</v>
      </c>
      <c r="K4" s="1" t="s">
        <v>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4.25" customHeight="1">
      <c r="A5" s="1">
        <v>4.0</v>
      </c>
      <c r="B5" s="2">
        <v>62.87</v>
      </c>
      <c r="C5" s="7" t="s">
        <v>10</v>
      </c>
      <c r="D5" s="1" t="s">
        <v>6</v>
      </c>
      <c r="E5" s="1" t="s">
        <v>7</v>
      </c>
      <c r="F5" s="3"/>
      <c r="G5" s="1">
        <v>4.0</v>
      </c>
      <c r="H5" s="2">
        <v>62.87</v>
      </c>
      <c r="I5" s="7" t="s">
        <v>10</v>
      </c>
      <c r="J5" s="1" t="s">
        <v>6</v>
      </c>
      <c r="K5" s="1" t="s">
        <v>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C6" s="6" t="s">
        <v>11</v>
      </c>
      <c r="E6" s="1" t="s">
        <v>7</v>
      </c>
      <c r="F6" s="3"/>
      <c r="I6" s="6" t="s">
        <v>11</v>
      </c>
      <c r="K6" s="1" t="s">
        <v>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1">
        <v>5.0</v>
      </c>
      <c r="B7" s="2">
        <v>21.58</v>
      </c>
      <c r="C7" s="7" t="s">
        <v>12</v>
      </c>
      <c r="D7" s="1" t="s">
        <v>6</v>
      </c>
      <c r="E7" s="1" t="s">
        <v>7</v>
      </c>
      <c r="F7" s="3"/>
      <c r="G7" s="1">
        <v>5.0</v>
      </c>
      <c r="H7" s="2">
        <v>21.58</v>
      </c>
      <c r="I7" s="7" t="s">
        <v>13</v>
      </c>
      <c r="J7" s="1" t="s">
        <v>6</v>
      </c>
      <c r="K7" s="1" t="s">
        <v>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1">
        <v>6.0</v>
      </c>
      <c r="B8" s="2">
        <v>81.05</v>
      </c>
      <c r="C8" s="8" t="s">
        <v>14</v>
      </c>
      <c r="D8" s="1" t="s">
        <v>6</v>
      </c>
      <c r="E8" s="1" t="s">
        <v>15</v>
      </c>
      <c r="F8" s="3"/>
      <c r="G8" s="1">
        <v>7.0</v>
      </c>
      <c r="H8" s="2">
        <v>547.53</v>
      </c>
      <c r="I8" s="1" t="s">
        <v>16</v>
      </c>
      <c r="J8" s="1" t="s">
        <v>6</v>
      </c>
      <c r="K8" s="1" t="s">
        <v>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1">
        <v>7.0</v>
      </c>
      <c r="B9" s="2">
        <v>547.53</v>
      </c>
      <c r="C9" s="1" t="s">
        <v>16</v>
      </c>
      <c r="D9" s="1" t="s">
        <v>6</v>
      </c>
      <c r="E9" s="1" t="s">
        <v>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9">
        <v>8.0</v>
      </c>
      <c r="B10" s="10">
        <v>377.99</v>
      </c>
      <c r="C10" s="11" t="s">
        <v>17</v>
      </c>
      <c r="D10" s="12" t="s">
        <v>18</v>
      </c>
      <c r="E10" s="12" t="s">
        <v>19</v>
      </c>
      <c r="F10" s="3"/>
      <c r="G10" s="3"/>
      <c r="H10" s="13">
        <f>SUM(H2:H8)</f>
        <v>734.74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1"/>
      <c r="B11" s="2"/>
      <c r="C11" s="14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1"/>
      <c r="B12" s="13"/>
      <c r="C12" s="3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1"/>
      <c r="B13" s="2"/>
      <c r="C13" s="3"/>
      <c r="D13" s="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1"/>
      <c r="B14" s="13"/>
      <c r="C14" s="3"/>
      <c r="D14" s="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12" t="s">
        <v>20</v>
      </c>
      <c r="B15" s="10">
        <f>SUM(B5:B12)</f>
        <v>1091.02</v>
      </c>
      <c r="C15" s="3"/>
      <c r="D15" s="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12" t="s">
        <v>21</v>
      </c>
      <c r="B16" s="10">
        <v>1700.0</v>
      </c>
      <c r="C16" s="3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12" t="s">
        <v>22</v>
      </c>
      <c r="B17" s="10">
        <f>B16-B15</f>
        <v>608.98</v>
      </c>
      <c r="C17" s="3"/>
      <c r="D17" s="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3"/>
      <c r="B18" s="13"/>
      <c r="C18" s="3"/>
      <c r="D18" s="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1" t="s">
        <v>23</v>
      </c>
      <c r="B19" s="2">
        <v>631.98</v>
      </c>
      <c r="C19" s="3"/>
      <c r="D19" s="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" t="s">
        <v>24</v>
      </c>
      <c r="B20" s="2">
        <v>459.04</v>
      </c>
      <c r="C20" s="3"/>
      <c r="D20" s="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13"/>
      <c r="C21" s="3"/>
      <c r="D21" s="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13"/>
      <c r="C22" s="3"/>
      <c r="D22" s="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13"/>
      <c r="C23" s="3"/>
      <c r="D23" s="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13"/>
      <c r="C24" s="3"/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13"/>
      <c r="C25" s="3"/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13"/>
      <c r="C26" s="3"/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13"/>
      <c r="C27" s="3"/>
      <c r="D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13"/>
      <c r="C28" s="3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13"/>
      <c r="C29" s="3"/>
      <c r="D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13"/>
      <c r="C30" s="3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13"/>
      <c r="C31" s="3"/>
      <c r="D31" s="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13"/>
      <c r="C32" s="3"/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13"/>
      <c r="C33" s="3"/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13"/>
      <c r="C34" s="3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13"/>
      <c r="C35" s="3"/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13"/>
      <c r="C36" s="3"/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13"/>
      <c r="C37" s="3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13"/>
      <c r="C38" s="3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13"/>
      <c r="C39" s="3"/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13"/>
      <c r="C40" s="3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13"/>
      <c r="C41" s="3"/>
      <c r="D41" s="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13"/>
      <c r="C42" s="3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13"/>
      <c r="C43" s="3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13"/>
      <c r="C44" s="3"/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13"/>
      <c r="C45" s="3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13"/>
      <c r="C46" s="3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13"/>
      <c r="C47" s="3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13"/>
      <c r="C48" s="3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13"/>
      <c r="C49" s="3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13"/>
      <c r="C50" s="3"/>
      <c r="D50" s="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">
    <mergeCell ref="A5:A6"/>
    <mergeCell ref="B5:B6"/>
    <mergeCell ref="D5:D6"/>
    <mergeCell ref="G5:G6"/>
    <mergeCell ref="H5:H6"/>
    <mergeCell ref="J5:J6"/>
  </mergeCells>
  <hyperlinks>
    <hyperlink r:id="rId1" ref="C2"/>
    <hyperlink r:id="rId2" ref="I2"/>
    <hyperlink r:id="rId3" ref="C3"/>
    <hyperlink r:id="rId4" ref="I3"/>
    <hyperlink r:id="rId5" ref="C4"/>
    <hyperlink r:id="rId6" ref="I4"/>
    <hyperlink r:id="rId7" ref="C5"/>
    <hyperlink r:id="rId8" ref="I5"/>
    <hyperlink r:id="rId9" ref="C6"/>
    <hyperlink r:id="rId10" ref="I6"/>
    <hyperlink r:id="rId11" ref="C7"/>
    <hyperlink r:id="rId12" ref="I7"/>
    <hyperlink r:id="rId13" ref="C10"/>
  </hyperlinks>
  <drawing r:id="rId14"/>
</worksheet>
</file>